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mand Gener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<sst xmlns="http://schemas.openxmlformats.org/spreadsheetml/2006/main" count="28" uniqueCount="28">
  <si>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WEEKLY COMMAND GENERATOR</t>
  </si>
  <si>
    <t xml:space="preserve">Season (for build_projections / baseline / matchup):</t>
  </si>
  <si>
    <t xml:space="preserve">Week (for build_projections / baseline / matchup):</t>
  </si>
  <si>
    <t xml:space="preserve">Ingest-historical seasons (space separated, e.g. 2025 2026):</t>
  </si>
  <si>
    <t xml:space="preserve">2025 2026</t>
  </si>
  <si>
    <t xml:space="preserve">Fill in yellow cells only. Column A below = raw salary filename (with .csv). Everything else is a formula.</t>
  </si>
  <si>
    <t xml:space="preserve">ONE-TIME COMMANDS (run once per week, not per slate)</t>
  </si>
  <si>
    <t xml:space="preserve">ingest_historical:</t>
  </si>
  <si>
    <t xml:space="preserve">baseline (DK):</t>
  </si>
  <si>
    <t xml:space="preserve">baseline (FD):</t>
  </si>
  <si>
    <t xml:space="preserve">matchup (DK):</t>
  </si>
  <si>
    <t xml:space="preserve">matchup (FD):</t>
  </si>
  <si>
    <t xml:space="preserve">PER-SLATE COMMANDS (one row per raw salary file)</t>
  </si>
  <si>
    <t xml:space="preserve">Raw Salary Filename (input)</t>
  </si>
  <si>
    <t xml:space="preserve">Site (auto)</t>
  </si>
  <si>
    <t xml:space="preserve">Format (auto)</t>
  </si>
  <si>
    <t xml:space="preserve">Slate ID (auto)</t>
  </si>
  <si>
    <t xml:space="preserve">1) vegas_odds command</t>
  </si>
  <si>
    <t xml:space="preserve">2) ingest_salaries command</t>
  </si>
  <si>
    <t xml:space="preserve">3) build_projections_statline command</t>
  </si>
  <si>
    <t xml:space="preserve">4) optimizer command</t>
  </si>
  <si>
    <t xml:space="preserve">5) pivot_finder command</t>
  </si>
  <si>
    <t xml:space="preserve">dk_classic_wk1_main_13Sep2026.csv</t>
  </si>
  <si>
    <t xml:space="preserve">dk_showdown_09Sep2026_ne_sea.csv</t>
  </si>
  <si>
    <t xml:space="preserve">fd_classic_wk1_main_13Sep2026.csv</t>
  </si>
  <si>
    <t xml:space="preserve">fd_classic_wk1_early_13Sep2026.csv</t>
  </si>
  <si>
    <t xml:space="preserve">fd_classic_wk1_afternoon_13Sep2026.csv</t>
  </si>
  <si>
    <t xml:space="preserve">fd_showdown_09Sep2026_ne_sea.csv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</si>
</sst>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CCCC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8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65"/>
    <col collapsed="false" customWidth="true" hidden="false" outlineLevel="0" max="9" min="8" style="0" width="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C3" s="3" t="n">
        <v>2025</v>
      </c>
    </row>
    <row r="4" customFormat="false" ht="15" hidden="false" customHeight="false" outlineLevel="0" collapsed="false">
      <c r="A4" s="2" t="s">
        <v>2</v>
      </c>
      <c r="D4" s="3" t="n">
        <v>23</v>
      </c>
    </row>
    <row r="5" customFormat="false" ht="15" hidden="false" customHeight="false" outlineLevel="0" collapsed="false">
      <c r="A5" s="2" t="s">
        <v>3</v>
      </c>
      <c r="F5" s="3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2" t="s">
        <v>7</v>
      </c>
      <c r="B10" s="6" t="str">
        <f aca="false">"python scripts/ingest_historical.py --season "&amp;$F$5</f>
        <v>python scripts/ingest_historical.py --season 2025 2026</v>
      </c>
    </row>
    <row r="11" customFormat="false" ht="15" hidden="false" customHeight="false" outlineLevel="0" collapsed="false">
      <c r="A11" s="2" t="s">
        <v>8</v>
      </c>
      <c r="B11" s="6" t="str">
        <f aca="false">IF(COUNTIF(A15:A200,"dk_*")&gt;0,"python scripts/projections_baseline.py --site dk --season "&amp;$C$3&amp;" --week "&amp;$D$4,"(no DK slates below)")</f>
        <v>python scripts/projections_baseline.py --site dk --season 2025 --week 23</v>
      </c>
    </row>
    <row r="12" customFormat="false" ht="15" hidden="false" customHeight="false" outlineLevel="0" collapsed="false">
      <c r="A12" s="2" t="s">
        <v>9</v>
      </c>
      <c r="B12" s="6" t="str">
        <f aca="false">IF(COUNTIF(A15:A200,"fd_*")&gt;0,"python scripts/projections_baseline.py --site fd --season "&amp;$C$3&amp;" --week "&amp;$D$4,"(no FD slates below)")</f>
        <v>python scripts/projections_baseline.py --site fd --season 2025 --week 23</v>
      </c>
    </row>
    <row r="13" customFormat="false" ht="15" hidden="false" customHeight="false" outlineLevel="0" collapsed="false">
      <c r="A13" s="2" t="s">
        <v>10</v>
      </c>
      <c r="B13" s="6" t="str">
        <f aca="false">IF(COUNTIF(A15:A200,"dk_*")&gt;0,"python scripts/projections_matchup.py --site dk --season "&amp;$C$3&amp;" --week "&amp;$D$4,"(no DK slates below)")</f>
        <v>python scripts/projections_matchup.py --site dk --season 2025 --week 23</v>
      </c>
    </row>
    <row r="14" customFormat="false" ht="15" hidden="false" customHeight="false" outlineLevel="0" collapsed="false">
      <c r="A14" s="2" t="s">
        <v>11</v>
      </c>
      <c r="B14" s="6" t="str">
        <f aca="false">IF(COUNTIF(A15:A200,"fd_*")&gt;0,"python scripts/projections_matchup.py --site fd --season "&amp;$C$3&amp;" --week "&amp;$D$4,"(no FD slates below)")</f>
        <v>python scripts/projections_matchup.py --site fd --season 2025 --week 23</v>
      </c>
    </row>
    <row r="17" customFormat="false" ht="15" hidden="false" customHeight="false" outlineLevel="0" collapsed="false">
      <c r="A17" s="5" t="s">
        <v>12</v>
      </c>
    </row>
    <row r="18" customFormat="false" ht="26.85" hidden="false" customHeight="false" outlineLevel="0" collapsed="false">
      <c r="A18" s="7" t="s">
        <v>13</v>
      </c>
      <c r="B18" s="7" t="s">
        <v>14</v>
      </c>
      <c r="C18" s="7" t="s">
        <v>15</v>
      </c>
      <c r="D18" s="7" t="s">
        <v>16</v>
      </c>
      <c r="E18" s="7" t="s">
        <v>17</v>
      </c>
      <c r="F18" s="7" t="s">
        <v>18</v>
      </c>
      <c r="G18" s="7" t="s">
        <v>19</v>
      </c>
      <c r="H18" s="7" t="s">
        <v>20</v>
      </c>
      <c r="I18" s="7" t="s">
        <v>21</v>
      </c>
    </row>
    <row r="19" customFormat="false" ht="15" hidden="false" customHeight="false" outlineLevel="0" collapsed="false">
      <c r="A19" s="8" t="s">
        <v>22</v>
      </c>
      <c r="B19" s="9" t="str">
        <f aca="false">IF($A19="","",LEFT($A19,FIND("_",$A19)-1))</f>
        <v>dk</v>
      </c>
      <c r="C19" s="9" t="str">
        <f aca="false">IF($A19="","",IF(ISNUMBER(SEARCH("showdown",$A19)),"showdown","classic"))</f>
        <v>classic</v>
      </c>
      <c r="D19" s="9" t="str">
        <f aca="false">IF($A19="","",SUBSTITUTE($A19,".csv",""))</f>
        <v>dk_classic_wk1_main_13Sep2026</v>
      </c>
      <c r="E19" s="9" t="str">
        <f aca="false">IF($A19="","","python scripts/vegas_odds.py --slate-id "&amp;$D19)</f>
        <v>python scripts/vegas_odds.py --slate-id dk_classic_wk1_main_13Sep2026</v>
      </c>
      <c r="F19" s="9" t="str">
        <f aca="false">IF($A19="","","python scripts/ingest_salaries.py --site "&amp;$B19&amp;" --raw data/raw_salaries/"&amp;$A19&amp;" --season "&amp;$C$3&amp;" --slate-id "&amp;$D19&amp;IF($C19="showdown"," --format showdown",""))</f>
        <v>python scripts/ingest_salaries.py --site dk --raw data/raw_salaries/dk_classic_wk1_main_13Sep2026.csv --season 2025 --slate-id dk_classic_wk1_main_13Sep2026</v>
      </c>
      <c r="G19" s="9" t="str">
        <f aca="false">IF($A19="","","python scripts/build_projections_statline.py --site "&amp;$B19&amp;" --season "&amp;$C$3&amp;" --week "&amp;$D$4&amp;" --slate-id "&amp;$D19&amp;" --volume-prior --sigma-recalibration --dst-model distributional")</f>
        <v>python scripts/build_projections_statline.py --site dk --season 2025 --week 23 --slate-id dk_classic_wk1_main_13Sep2026 --volume-prior --sigma-recalibration --dst-model distributional</v>
      </c>
      <c r="H19" s="9" t="str">
        <f aca="false">IF($A19="","","python scripts/optimizer.py --site "&amp;$B19&amp;" --slate-id "&amp;$D19&amp;" --n-lineups 20")</f>
        <v>python scripts/optimizer.py --site dk --slate-id dk_classic_wk1_main_13Sep2026 --n-lineups 20</v>
      </c>
      <c r="I19" s="9" t="str">
        <f aca="false">IF($A19="","","python scripts/pivot_finder.py --site "&amp;$B19&amp;" --slate-id "&amp;$D19)</f>
        <v>python scripts/pivot_finder.py --site dk --slate-id dk_classic_wk1_main_13Sep2026</v>
      </c>
    </row>
    <row r="20" customFormat="false" ht="15" hidden="false" customHeight="false" outlineLevel="0" collapsed="false">
      <c r="A20" s="8" t="s">
        <v>23</v>
      </c>
      <c r="B20" s="9" t="str">
        <f aca="false">IF($A20="","",LEFT($A20,FIND("_",$A20)-1))</f>
        <v>dk</v>
      </c>
      <c r="C20" s="9" t="str">
        <f aca="false">IF($A20="","",IF(ISNUMBER(SEARCH("showdown",$A20)),"showdown","classic"))</f>
        <v>showdown</v>
      </c>
      <c r="D20" s="9" t="str">
        <f aca="false">IF($A20="","",SUBSTITUTE($A20,".csv",""))</f>
        <v>dk_showdown_09Sep2026_ne_sea</v>
      </c>
      <c r="E20" s="9" t="str">
        <f aca="false">IF($A20="","","python scripts/vegas_odds.py --slate-id "&amp;$D20)</f>
        <v>python scripts/vegas_odds.py --slate-id dk_showdown_09Sep2026_ne_sea</v>
      </c>
      <c r="F20" s="9" t="str">
        <f aca="false">IF($A20="","","python scripts/ingest_salaries.py --site "&amp;$B20&amp;" --raw data/raw_salaries/"&amp;$A20&amp;" --season "&amp;$C$3&amp;" --slate-id "&amp;$D20&amp;IF($C20="showdown"," --format showdown",""))</f>
        <v>python scripts/ingest_salaries.py --site dk --raw data/raw_salaries/dk_showdown_09Sep2026_ne_sea.csv --season 2025 --slate-id dk_showdown_09Sep2026_ne_sea --format showdown</v>
      </c>
      <c r="G20" s="9" t="str">
        <f aca="false">IF($A20="","","python scripts/build_projections_statline.py --site "&amp;$B20&amp;" --season "&amp;$C$3&amp;" --week "&amp;$D$4&amp;" --slate-id "&amp;$D20&amp;" --volume-prior --sigma-recalibration --dst-model distributional")</f>
        <v>python scripts/build_projections_statline.py --site dk --season 2025 --week 23 --slate-id dk_showdown_09Sep2026_ne_sea --volume-prior --sigma-recalibration --dst-model distributional</v>
      </c>
      <c r="H20" s="9" t="str">
        <f aca="false">IF($A20="","","python scripts/optimizer.py --site "&amp;$B20&amp;" --slate-id "&amp;$D20&amp;" --n-lineups 20")</f>
        <v>python scripts/optimizer.py --site dk --slate-id dk_showdown_09Sep2026_ne_sea --n-lineups 20</v>
      </c>
      <c r="I20" s="9" t="str">
        <f aca="false">IF($A20="","","python scripts/pivot_finder.py --site "&amp;$B20&amp;" --slate-id "&amp;$D20)</f>
        <v>python scripts/pivot_finder.py --site dk --slate-id dk_showdown_09Sep2026_ne_sea</v>
      </c>
    </row>
    <row r="21" customFormat="false" ht="15" hidden="false" customHeight="false" outlineLevel="0" collapsed="false">
      <c r="A21" s="8" t="s">
        <v>24</v>
      </c>
      <c r="B21" s="9" t="str">
        <f aca="false">IF($A21="","",LEFT($A21,FIND("_",$A21)-1))</f>
        <v>fd</v>
      </c>
      <c r="C21" s="9" t="str">
        <f aca="false">IF($A21="","",IF(ISNUMBER(SEARCH("showdown",$A21)),"showdown","classic"))</f>
        <v>classic</v>
      </c>
      <c r="D21" s="9" t="str">
        <f aca="false">IF($A21="","",SUBSTITUTE($A21,".csv",""))</f>
        <v>fd_classic_wk1_main_13Sep2026</v>
      </c>
      <c r="E21" s="9" t="str">
        <f aca="false">IF($A21="","","python scripts/vegas_odds.py --slate-id "&amp;$D21)</f>
        <v>python scripts/vegas_odds.py --slate-id fd_classic_wk1_main_13Sep2026</v>
      </c>
      <c r="F21" s="9" t="str">
        <f aca="false">IF($A21="","","python scripts/ingest_salaries.py --site "&amp;$B21&amp;" --raw data/raw_salaries/"&amp;$A21&amp;" --season "&amp;$C$3&amp;" --slate-id "&amp;$D21&amp;IF($C21="showdown"," --format showdown",""))</f>
        <v>python scripts/ingest_salaries.py --site fd --raw data/raw_salaries/fd_classic_wk1_main_13Sep2026.csv --season 2025 --slate-id fd_classic_wk1_main_13Sep2026</v>
      </c>
      <c r="G21" s="9" t="str">
        <f aca="false">IF($A21="","","python scripts/build_projections_statline.py --site "&amp;$B21&amp;" --season "&amp;$C$3&amp;" --week "&amp;$D$4&amp;" --slate-id "&amp;$D21&amp;" --volume-prior --sigma-recalibration --dst-model distributional")</f>
        <v>python scripts/build_projections_statline.py --site fd --season 2025 --week 23 --slate-id fd_classic_wk1_main_13Sep2026 --volume-prior --sigma-recalibration --dst-model distributional</v>
      </c>
      <c r="H21" s="9" t="str">
        <f aca="false">IF($A21="","","python scripts/optimizer.py --site "&amp;$B21&amp;" --slate-id "&amp;$D21&amp;" --n-lineups 20")</f>
        <v>python scripts/optimizer.py --site fd --slate-id fd_classic_wk1_main_13Sep2026 --n-lineups 20</v>
      </c>
      <c r="I21" s="9" t="str">
        <f aca="false">IF($A21="","","python scripts/pivot_finder.py --site "&amp;$B21&amp;" --slate-id "&amp;$D21)</f>
        <v>python scripts/pivot_finder.py --site fd --slate-id fd_classic_wk1_main_13Sep2026</v>
      </c>
    </row>
    <row r="22" customFormat="false" ht="15" hidden="false" customHeight="false" outlineLevel="0" collapsed="false">
      <c r="A22" s="8" t="s">
        <v>25</v>
      </c>
      <c r="B22" s="9" t="str">
        <f aca="false">IF($A22="","",LEFT($A22,FIND("_",$A22)-1))</f>
        <v>fd</v>
      </c>
      <c r="C22" s="9" t="str">
        <f aca="false">IF($A22="","",IF(ISNUMBER(SEARCH("showdown",$A22)),"showdown","classic"))</f>
        <v>classic</v>
      </c>
      <c r="D22" s="9" t="str">
        <f aca="false">IF($A22="","",SUBSTITUTE($A22,".csv",""))</f>
        <v>fd_classic_wk1_early_13Sep2026</v>
      </c>
      <c r="E22" s="9" t="str">
        <f aca="false">IF($A22="","","python scripts/vegas_odds.py --slate-id "&amp;$D22)</f>
        <v>python scripts/vegas_odds.py --slate-id fd_classic_wk1_early_13Sep2026</v>
      </c>
      <c r="F22" s="9" t="str">
        <f aca="false">IF($A22="","","python scripts/ingest_salaries.py --site "&amp;$B22&amp;" --raw data/raw_salaries/"&amp;$A22&amp;" --season "&amp;$C$3&amp;" --slate-id "&amp;$D22&amp;IF($C22="showdown"," --format showdown",""))</f>
        <v>python scripts/ingest_salaries.py --site fd --raw data/raw_salaries/fd_classic_wk1_early_13Sep2026.csv --season 2025 --slate-id fd_classic_wk1_early_13Sep2026</v>
      </c>
      <c r="G22" s="9" t="str">
        <f aca="false">IF($A22="","","python scripts/build_projections_statline.py --site "&amp;$B22&amp;" --season "&amp;$C$3&amp;" --week "&amp;$D$4&amp;" --slate-id "&amp;$D22&amp;" --volume-prior --sigma-recalibration --dst-model distributional")</f>
        <v>python scripts/build_projections_statline.py --site fd --season 2025 --week 23 --slate-id fd_classic_wk1_early_13Sep2026 --volume-prior --sigma-recalibration --dst-model distributional</v>
      </c>
      <c r="H22" s="9" t="str">
        <f aca="false">IF($A22="","","python scripts/optimizer.py --site "&amp;$B22&amp;" --slate-id "&amp;$D22&amp;" --n-lineups 20")</f>
        <v>python scripts/optimizer.py --site fd --slate-id fd_classic_wk1_early_13Sep2026 --n-lineups 20</v>
      </c>
      <c r="I22" s="9" t="str">
        <f aca="false">IF($A22="","","python scripts/pivot_finder.py --site "&amp;$B22&amp;" --slate-id "&amp;$D22)</f>
        <v>python scripts/pivot_finder.py --site fd --slate-id fd_classic_wk1_early_13Sep2026</v>
      </c>
    </row>
    <row r="23" customFormat="false" ht="15" hidden="false" customHeight="false" outlineLevel="0" collapsed="false">
      <c r="A23" s="8" t="s">
        <v>26</v>
      </c>
      <c r="B23" s="9" t="str">
        <f aca="false">IF($A23="","",LEFT($A23,FIND("_",$A23)-1))</f>
        <v>fd</v>
      </c>
      <c r="C23" s="9" t="str">
        <f aca="false">IF($A23="","",IF(ISNUMBER(SEARCH("showdown",$A23)),"showdown","classic"))</f>
        <v>classic</v>
      </c>
      <c r="D23" s="9" t="str">
        <f aca="false">IF($A23="","",SUBSTITUTE($A23,".csv",""))</f>
        <v>fd_classic_wk1_afternoon_13Sep2026</v>
      </c>
      <c r="E23" s="9" t="str">
        <f aca="false">IF($A23="","","python scripts/vegas_odds.py --slate-id "&amp;$D23)</f>
        <v>python scripts/vegas_odds.py --slate-id fd_classic_wk1_afternoon_13Sep2026</v>
      </c>
      <c r="F23" s="9" t="str">
        <f aca="false">IF($A23="","","python scripts/ingest_salaries.py --site "&amp;$B23&amp;" --raw data/raw_salaries/"&amp;$A23&amp;" --season "&amp;$C$3&amp;" --slate-id "&amp;$D23&amp;IF($C23="showdown"," --format showdown",""))</f>
        <v>python scripts/ingest_salaries.py --site fd --raw data/raw_salaries/fd_classic_wk1_afternoon_13Sep2026.csv --season 2025 --slate-id fd_classic_wk1_afternoon_13Sep2026</v>
      </c>
      <c r="G23" s="9" t="str">
        <f aca="false">IF($A23="","","python scripts/build_projections_statline.py --site "&amp;$B23&amp;" --season "&amp;$C$3&amp;" --week "&amp;$D$4&amp;" --slate-id "&amp;$D23&amp;" --volume-prior --sigma-recalibration --dst-model distributional")</f>
        <v>python scripts/build_projections_statline.py --site fd --season 2025 --week 23 --slate-id fd_classic_wk1_afternoon_13Sep2026 --volume-prior --sigma-recalibration --dst-model distributional</v>
      </c>
      <c r="H23" s="9" t="str">
        <f aca="false">IF($A23="","","python scripts/optimizer.py --site "&amp;$B23&amp;" --slate-id "&amp;$D23&amp;" --n-lineups 20")</f>
        <v>python scripts/optimizer.py --site fd --slate-id fd_classic_wk1_afternoon_13Sep2026 --n-lineups 20</v>
      </c>
      <c r="I23" s="9" t="str">
        <f aca="false">IF($A23="","","python scripts/pivot_finder.py --site "&amp;$B23&amp;" --slate-id "&amp;$D23)</f>
        <v>python scripts/pivot_finder.py --site fd --slate-id fd_classic_wk1_afternoon_13Sep2026</v>
      </c>
    </row>
    <row r="24" customFormat="false" ht="15" hidden="false" customHeight="false" outlineLevel="0" collapsed="false">
      <c r="A24" s="8" t="s">
        <v>27</v>
      </c>
      <c r="B24" s="9" t="str">
        <f aca="false">IF($A24="","",LEFT($A24,FIND("_",$A24)-1))</f>
        <v>fd</v>
      </c>
      <c r="C24" s="9" t="str">
        <f aca="false">IF($A24="","",IF(ISNUMBER(SEARCH("showdown",$A24)),"showdown","classic"))</f>
        <v>showdown</v>
      </c>
      <c r="D24" s="9" t="str">
        <f aca="false">IF($A24="","",SUBSTITUTE($A24,".csv",""))</f>
        <v>fd_showdown_09Sep2026_ne_sea</v>
      </c>
      <c r="E24" s="9" t="str">
        <f aca="false">IF($A24="","","python scripts/vegas_odds.py --slate-id "&amp;$D24)</f>
        <v>python scripts/vegas_odds.py --slate-id fd_showdown_09Sep2026_ne_sea</v>
      </c>
      <c r="F24" s="9" t="str">
        <f aca="false">IF($A24="","","python scripts/ingest_salaries.py --site "&amp;$B24&amp;" --raw data/raw_salaries/"&amp;$A24&amp;" --season "&amp;$C$3&amp;" --slate-id "&amp;$D24&amp;IF($C24="showdown"," --format showdown",""))</f>
        <v>python scripts/ingest_salaries.py --site fd --raw data/raw_salaries/fd_showdown_09Sep2026_ne_sea.csv --season 2025 --slate-id fd_showdown_09Sep2026_ne_sea --format showdown</v>
      </c>
      <c r="G24" s="9" t="str">
        <f aca="false">IF($A24="","","python scripts/build_projections_statline.py --site "&amp;$B24&amp;" --season "&amp;$C$3&amp;" --week "&amp;$D$4&amp;" --slate-id "&amp;$D24&amp;" --volume-prior --sigma-recalibration --dst-model distributional")</f>
        <v>python scripts/build_projections_statline.py --site fd --season 2025 --week 23 --slate-id fd_showdown_09Sep2026_ne_sea --volume-prior --sigma-recalibration --dst-model distributional</v>
      </c>
      <c r="H24" s="9" t="str">
        <f aca="false">IF($A24="","","python scripts/optimizer.py --site "&amp;$B24&amp;" --slate-id "&amp;$D24&amp;" --n-lineups 20")</f>
        <v>python scripts/optimizer.py --site fd --slate-id fd_showdown_09Sep2026_ne_sea --n-lineups 20</v>
      </c>
      <c r="I24" s="9" t="str">
        <f aca="false">IF($A24="","","python scripts/pivot_finder.py --site "&amp;$B24&amp;" --slate-id "&amp;$D24)</f>
        <v>python scripts/pivot_finder.py --site fd --slate-id fd_showdown_09Sep2026_ne_sea</v>
      </c>
    </row>
    <row r="25" customFormat="false" ht="15" hidden="false" customHeight="false" outlineLevel="0" collapsed="false">
      <c r="A25" s="8"/>
      <c r="B25" s="9" t="str">
        <f aca="false">IF($A25="","",LEFT($A25,FIND("_",$A25)-1))</f>
        <v/>
      </c>
      <c r="C25" s="9" t="str">
        <f aca="false">IF($A25="","",IF(ISNUMBER(SEARCH("showdown",$A25)),"showdown","classic"))</f>
        <v/>
      </c>
      <c r="D25" s="9" t="str">
        <f aca="false">IF($A25="","",SUBSTITUTE($A25,".csv",""))</f>
        <v/>
      </c>
      <c r="E25" s="9" t="str">
        <f aca="false">IF($A25="","","python scripts/vegas_odds.py --slate-id "&amp;$D25)</f>
        <v/>
      </c>
      <c r="F25" s="9" t="str">
        <f aca="false">IF($A25="","","python scripts/ingest_salaries.py --site "&amp;$B25&amp;" --raw data/raw_salaries/"&amp;$A25&amp;" --season "&amp;$C$3&amp;" --slate-id "&amp;$D25&amp;IF($C25="showdown"," --format showdown",""))</f>
        <v/>
      </c>
      <c r="G25" s="9" t="str">
        <f aca="false">IF($A25="","","python scripts/build_projections_statline.py --site "&amp;$B25&amp;" --season "&amp;$C$3&amp;" --week "&amp;$D$4&amp;" --slate-id "&amp;$D25&amp;" --volume-prior --sigma-recalibration --dst-model distributional")</f>
        <v/>
      </c>
      <c r="H25" s="9" t="str">
        <f aca="false">IF($A25="","","python scripts/optimizer.py --site "&amp;$B25&amp;" --slate-id "&amp;$D25&amp;" --n-lineups 20")</f>
        <v/>
      </c>
      <c r="I25" s="9" t="str">
        <f aca="false">IF($A25="","","python scripts/pivot_finder.py --site "&amp;$B25&amp;" --slate-id "&amp;$D25)</f>
        <v/>
      </c>
    </row>
    <row r="26" customFormat="false" ht="15" hidden="false" customHeight="false" outlineLevel="0" collapsed="false">
      <c r="A26" s="8"/>
      <c r="B26" s="9" t="str">
        <f aca="false">IF($A26="","",LEFT($A26,FIND("_",$A26)-1))</f>
        <v/>
      </c>
      <c r="C26" s="9" t="str">
        <f aca="false">IF($A26="","",IF(ISNUMBER(SEARCH("showdown",$A26)),"showdown","classic"))</f>
        <v/>
      </c>
      <c r="D26" s="9" t="str">
        <f aca="false">IF($A26="","",SUBSTITUTE($A26,".csv",""))</f>
        <v/>
      </c>
      <c r="E26" s="9" t="str">
        <f aca="false">IF($A26="","","python scripts/vegas_odds.py --slate-id "&amp;$D26)</f>
        <v/>
      </c>
      <c r="F26" s="9" t="str">
        <f aca="false">IF($A26="","","python scripts/ingest_salaries.py --site "&amp;$B26&amp;" --raw data/raw_salaries/"&amp;$A26&amp;" --season "&amp;$C$3&amp;" --slate-id "&amp;$D26&amp;IF($C26="showdown"," --format showdown",""))</f>
        <v/>
      </c>
      <c r="G26" s="9" t="str">
        <f aca="false">IF($A26="","","python scripts/build_projections_statline.py --site "&amp;$B26&amp;" --season "&amp;$C$3&amp;" --week "&amp;$D$4&amp;" --slate-id "&amp;$D26&amp;" --volume-prior --sigma-recalibration --dst-model distributional")</f>
        <v/>
      </c>
      <c r="H26" s="9" t="str">
        <f aca="false">IF($A26="","","python scripts/optimizer.py --site "&amp;$B26&amp;" --slate-id "&amp;$D26&amp;" --n-lineups 20")</f>
        <v/>
      </c>
      <c r="I26" s="9" t="str">
        <f aca="false">IF($A26="","","python scripts/pivot_finder.py --site "&amp;$B26&amp;" --slate-id "&amp;$D26)</f>
        <v/>
      </c>
    </row>
    <row r="27" customFormat="false" ht="15" hidden="false" customHeight="false" outlineLevel="0" collapsed="false">
      <c r="A27" s="8"/>
      <c r="B27" s="9" t="str">
        <f aca="false">IF($A27="","",LEFT($A27,FIND("_",$A27)-1))</f>
        <v/>
      </c>
      <c r="C27" s="9" t="str">
        <f aca="false">IF($A27="","",IF(ISNUMBER(SEARCH("showdown",$A27)),"showdown","classic"))</f>
        <v/>
      </c>
      <c r="D27" s="9" t="str">
        <f aca="false">IF($A27="","",SUBSTITUTE($A27,".csv",""))</f>
        <v/>
      </c>
      <c r="E27" s="9" t="str">
        <f aca="false">IF($A27="","","python scripts/vegas_odds.py --slate-id "&amp;$D27)</f>
        <v/>
      </c>
      <c r="F27" s="9" t="str">
        <f aca="false">IF($A27="","","python scripts/ingest_salaries.py --site "&amp;$B27&amp;" --raw data/raw_salaries/"&amp;$A27&amp;" --season "&amp;$C$3&amp;" --slate-id "&amp;$D27&amp;IF($C27="showdown"," --format showdown",""))</f>
        <v/>
      </c>
      <c r="G27" s="9" t="str">
        <f aca="false">IF($A27="","","python scripts/build_projections_statline.py --site "&amp;$B27&amp;" --season "&amp;$C$3&amp;" --week "&amp;$D$4&amp;" --slate-id "&amp;$D27&amp;" --volume-prior --sigma-recalibration --dst-model distributional")</f>
        <v/>
      </c>
      <c r="H27" s="9" t="str">
        <f aca="false">IF($A27="","","python scripts/optimizer.py --site "&amp;$B27&amp;" --slate-id "&amp;$D27&amp;" --n-lineups 20")</f>
        <v/>
      </c>
      <c r="I27" s="9" t="str">
        <f aca="false">IF($A27="","","python scripts/pivot_finder.py --site "&amp;$B27&amp;" --slate-id "&amp;$D27)</f>
        <v/>
      </c>
    </row>
    <row r="28" customFormat="false" ht="15" hidden="false" customHeight="false" outlineLevel="0" collapsed="false">
      <c r="A28" s="8"/>
      <c r="B28" s="9" t="str">
        <f aca="false">IF($A28="","",LEFT($A28,FIND("_",$A28)-1))</f>
        <v/>
      </c>
      <c r="C28" s="9" t="str">
        <f aca="false">IF($A28="","",IF(ISNUMBER(SEARCH("showdown",$A28)),"showdown","classic"))</f>
        <v/>
      </c>
      <c r="D28" s="9" t="str">
        <f aca="false">IF($A28="","",SUBSTITUTE($A28,".csv",""))</f>
        <v/>
      </c>
      <c r="E28" s="9" t="str">
        <f aca="false">IF($A28="","","python scripts/vegas_odds.py --slate-id "&amp;$D28)</f>
        <v/>
      </c>
      <c r="F28" s="9" t="str">
        <f aca="false">IF($A28="","","python scripts/ingest_salaries.py --site "&amp;$B28&amp;" --raw data/raw_salaries/"&amp;$A28&amp;" --season "&amp;$C$3&amp;" --slate-id "&amp;$D28&amp;IF($C28="showdown"," --format showdown",""))</f>
        <v/>
      </c>
      <c r="G28" s="9" t="str">
        <f aca="false">IF($A28="","","python scripts/build_projections_statline.py --site "&amp;$B28&amp;" --season "&amp;$C$3&amp;" --week "&amp;$D$4&amp;" --slate-id "&amp;$D28&amp;" --volume-prior --sigma-recalibration --dst-model distributional")</f>
        <v/>
      </c>
      <c r="H28" s="9" t="str">
        <f aca="false">IF($A28="","","python scripts/optimizer.py --site "&amp;$B28&amp;" --slate-id "&amp;$D28&amp;" --n-lineups 20")</f>
        <v/>
      </c>
      <c r="I28" s="9" t="str">
        <f aca="false">IF($A28="","","python scripts/pivot_finder.py --site "&amp;$B28&amp;" --slate-id "&amp;$D28)</f>
        <v/>
      </c>
    </row>
    <row r="29" customFormat="false" ht="15" hidden="false" customHeight="false" outlineLevel="0" collapsed="false">
      <c r="A29" s="8"/>
      <c r="B29" s="9" t="str">
        <f aca="false">IF($A29="","",LEFT($A29,FIND("_",$A29)-1))</f>
        <v/>
      </c>
      <c r="C29" s="9" t="str">
        <f aca="false">IF($A29="","",IF(ISNUMBER(SEARCH("showdown",$A29)),"showdown","classic"))</f>
        <v/>
      </c>
      <c r="D29" s="9" t="str">
        <f aca="false">IF($A29="","",SUBSTITUTE($A29,".csv",""))</f>
        <v/>
      </c>
      <c r="E29" s="9" t="str">
        <f aca="false">IF($A29="","","python scripts/vegas_odds.py --slate-id "&amp;$D29)</f>
        <v/>
      </c>
      <c r="F29" s="9" t="str">
        <f aca="false">IF($A29="","","python scripts/ingest_salaries.py --site "&amp;$B29&amp;" --raw data/raw_salaries/"&amp;$A29&amp;" --season "&amp;$C$3&amp;" --slate-id "&amp;$D29&amp;IF($C29="showdown"," --format showdown",""))</f>
        <v/>
      </c>
      <c r="G29" s="9" t="str">
        <f aca="false">IF($A29="","","python scripts/build_projections_statline.py --site "&amp;$B29&amp;" --season "&amp;$C$3&amp;" --week "&amp;$D$4&amp;" --slate-id "&amp;$D29&amp;" --volume-prior --sigma-recalibration --dst-model distributional")</f>
        <v/>
      </c>
      <c r="H29" s="9" t="str">
        <f aca="false">IF($A29="","","python scripts/optimizer.py --site "&amp;$B29&amp;" --slate-id "&amp;$D29&amp;" --n-lineups 20")</f>
        <v/>
      </c>
      <c r="I29" s="9" t="str">
        <f aca="false">IF($A29="","","python scripts/pivot_finder.py --site "&amp;$B29&amp;" --slate-id "&amp;$D29)</f>
        <v/>
      </c>
    </row>
    <row r="30" customFormat="false" ht="15" hidden="false" customHeight="false" outlineLevel="0" collapsed="false">
      <c r="A30" s="8"/>
      <c r="B30" s="9" t="str">
        <f aca="false">IF($A30="","",LEFT($A30,FIND("_",$A30)-1))</f>
        <v/>
      </c>
      <c r="C30" s="9" t="str">
        <f aca="false">IF($A30="","",IF(ISNUMBER(SEARCH("showdown",$A30)),"showdown","classic"))</f>
        <v/>
      </c>
      <c r="D30" s="9" t="str">
        <f aca="false">IF($A30="","",SUBSTITUTE($A30,".csv",""))</f>
        <v/>
      </c>
      <c r="E30" s="9" t="str">
        <f aca="false">IF($A30="","","python scripts/vegas_odds.py --slate-id "&amp;$D30)</f>
        <v/>
      </c>
      <c r="F30" s="9" t="str">
        <f aca="false">IF($A30="","","python scripts/ingest_salaries.py --site "&amp;$B30&amp;" --raw data/raw_salaries/"&amp;$A30&amp;" --season "&amp;$C$3&amp;" --slate-id "&amp;$D30&amp;IF($C30="showdown"," --format showdown",""))</f>
        <v/>
      </c>
      <c r="G30" s="9" t="str">
        <f aca="false">IF($A30="","","python scripts/build_projections_statline.py --site "&amp;$B30&amp;" --season "&amp;$C$3&amp;" --week "&amp;$D$4&amp;" --slate-id "&amp;$D30&amp;" --volume-prior --sigma-recalibration --dst-model distributional")</f>
        <v/>
      </c>
      <c r="H30" s="9" t="str">
        <f aca="false">IF($A30="","","python scripts/optimizer.py --site "&amp;$B30&amp;" --slate-id "&amp;$D30&amp;" --n-lineups 20")</f>
        <v/>
      </c>
      <c r="I30" s="9" t="str">
        <f aca="false">IF($A30="","","python scripts/pivot_finder.py --site "&amp;$B30&amp;" --slate-id "&amp;$D30)</f>
        <v/>
      </c>
    </row>
    <row r="31" customFormat="false" ht="15" hidden="false" customHeight="false" outlineLevel="0" collapsed="false">
      <c r="A31" s="8"/>
      <c r="B31" s="9" t="str">
        <f aca="false">IF($A31="","",LEFT($A31,FIND("_",$A31)-1))</f>
        <v/>
      </c>
      <c r="C31" s="9" t="str">
        <f aca="false">IF($A31="","",IF(ISNUMBER(SEARCH("showdown",$A31)),"showdown","classic"))</f>
        <v/>
      </c>
      <c r="D31" s="9" t="str">
        <f aca="false">IF($A31="","",SUBSTITUTE($A31,".csv",""))</f>
        <v/>
      </c>
      <c r="E31" s="9" t="str">
        <f aca="false">IF($A31="","","python scripts/vegas_odds.py --slate-id "&amp;$D31)</f>
        <v/>
      </c>
      <c r="F31" s="9" t="str">
        <f aca="false">IF($A31="","","python scripts/ingest_salaries.py --site "&amp;$B31&amp;" --raw data/raw_salaries/"&amp;$A31&amp;" --season "&amp;$C$3&amp;" --slate-id "&amp;$D31&amp;IF($C31="showdown"," --format showdown",""))</f>
        <v/>
      </c>
      <c r="G31" s="9" t="str">
        <f aca="false">IF($A31="","","python scripts/build_projections_statline.py --site "&amp;$B31&amp;" --season "&amp;$C$3&amp;" --week "&amp;$D$4&amp;" --slate-id "&amp;$D31&amp;" --volume-prior --sigma-recalibration --dst-model distributional")</f>
        <v/>
      </c>
      <c r="H31" s="9" t="str">
        <f aca="false">IF($A31="","","python scripts/optimizer.py --site "&amp;$B31&amp;" --slate-id "&amp;$D31&amp;" --n-lineups 20")</f>
        <v/>
      </c>
      <c r="I31" s="9" t="str">
        <f aca="false">IF($A31="","","python scripts/pivot_finder.py --site "&amp;$B31&amp;" --slate-id "&amp;$D31)</f>
        <v/>
      </c>
    </row>
    <row r="32" customFormat="false" ht="15" hidden="false" customHeight="false" outlineLevel="0" collapsed="false">
      <c r="A32" s="8"/>
      <c r="B32" s="9" t="str">
        <f aca="false">IF($A32="","",LEFT($A32,FIND("_",$A32)-1))</f>
        <v/>
      </c>
      <c r="C32" s="9" t="str">
        <f aca="false">IF($A32="","",IF(ISNUMBER(SEARCH("showdown",$A32)),"showdown","classic"))</f>
        <v/>
      </c>
      <c r="D32" s="9" t="str">
        <f aca="false">IF($A32="","",SUBSTITUTE($A32,".csv",""))</f>
        <v/>
      </c>
      <c r="E32" s="9" t="str">
        <f aca="false">IF($A32="","","python scripts/vegas_odds.py --slate-id "&amp;$D32)</f>
        <v/>
      </c>
      <c r="F32" s="9" t="str">
        <f aca="false">IF($A32="","","python scripts/ingest_salaries.py --site "&amp;$B32&amp;" --raw data/raw_salaries/"&amp;$A32&amp;" --season "&amp;$C$3&amp;" --slate-id "&amp;$D32&amp;IF($C32="showdown"," --format showdown",""))</f>
        <v/>
      </c>
      <c r="G32" s="9" t="str">
        <f aca="false">IF($A32="","","python scripts/build_projections_statline.py --site "&amp;$B32&amp;" --season "&amp;$C$3&amp;" --week "&amp;$D$4&amp;" --slate-id "&amp;$D32&amp;" --volume-prior --sigma-recalibration --dst-model distributional")</f>
        <v/>
      </c>
      <c r="H32" s="9" t="str">
        <f aca="false">IF($A32="","","python scripts/optimizer.py --site "&amp;$B32&amp;" --slate-id "&amp;$D32&amp;" --n-lineups 20")</f>
        <v/>
      </c>
      <c r="I32" s="9" t="str">
        <f aca="false">IF($A32="","","python scripts/pivot_finder.py --site "&amp;$B32&amp;" --slate-id "&amp;$D32)</f>
        <v/>
      </c>
    </row>
    <row r="33" customFormat="false" ht="15" hidden="false" customHeight="false" outlineLevel="0" collapsed="false">
      <c r="A33" s="8"/>
      <c r="B33" s="9" t="str">
        <f aca="false">IF($A33="","",LEFT($A33,FIND("_",$A33)-1))</f>
        <v/>
      </c>
      <c r="C33" s="9" t="str">
        <f aca="false">IF($A33="","",IF(ISNUMBER(SEARCH("showdown",$A33)),"showdown","classic"))</f>
        <v/>
      </c>
      <c r="D33" s="9" t="str">
        <f aca="false">IF($A33="","",SUBSTITUTE($A33,".csv",""))</f>
        <v/>
      </c>
      <c r="E33" s="9" t="str">
        <f aca="false">IF($A33="","","python scripts/vegas_odds.py --slate-id "&amp;$D33)</f>
        <v/>
      </c>
      <c r="F33" s="9" t="str">
        <f aca="false">IF($A33="","","python scripts/ingest_salaries.py --site "&amp;$B33&amp;" --raw data/raw_salaries/"&amp;$A33&amp;" --season "&amp;$C$3&amp;" --slate-id "&amp;$D33&amp;IF($C33="showdown"," --format showdown",""))</f>
        <v/>
      </c>
      <c r="G33" s="9" t="str">
        <f aca="false">IF($A33="","","python scripts/build_projections_statline.py --site "&amp;$B33&amp;" --season "&amp;$C$3&amp;" --week "&amp;$D$4&amp;" --slate-id "&amp;$D33&amp;" --volume-prior --sigma-recalibration --dst-model distributional")</f>
        <v/>
      </c>
      <c r="H33" s="9" t="str">
        <f aca="false">IF($A33="","","python scripts/optimizer.py --site "&amp;$B33&amp;" --slate-id "&amp;$D33&amp;" --n-lineups 20")</f>
        <v/>
      </c>
      <c r="I33" s="9" t="str">
        <f aca="false">IF($A33="","","python scripts/pivot_finder.py --site "&amp;$B33&amp;" --slate-id "&amp;$D33)</f>
        <v/>
      </c>
    </row>
    <row r="34" customFormat="false" ht="15" hidden="false" customHeight="false" outlineLevel="0" collapsed="false">
      <c r="A34" s="8"/>
      <c r="B34" s="9" t="str">
        <f aca="false">IF($A34="","",LEFT($A34,FIND("_",$A34)-1))</f>
        <v/>
      </c>
      <c r="C34" s="9" t="str">
        <f aca="false">IF($A34="","",IF(ISNUMBER(SEARCH("showdown",$A34)),"showdown","classic"))</f>
        <v/>
      </c>
      <c r="D34" s="9" t="str">
        <f aca="false">IF($A34="","",SUBSTITUTE($A34,".csv",""))</f>
        <v/>
      </c>
      <c r="E34" s="9" t="str">
        <f aca="false">IF($A34="","","python scripts/vegas_odds.py --slate-id "&amp;$D34)</f>
        <v/>
      </c>
      <c r="F34" s="9" t="str">
        <f aca="false">IF($A34="","","python scripts/ingest_salaries.py --site "&amp;$B34&amp;" --raw data/raw_salaries/"&amp;$A34&amp;" --season "&amp;$C$3&amp;" --slate-id "&amp;$D34&amp;IF($C34="showdown"," --format showdown",""))</f>
        <v/>
      </c>
      <c r="G34" s="9" t="str">
        <f aca="false">IF($A34="","","python scripts/build_projections_statline.py --site "&amp;$B34&amp;" --season "&amp;$C$3&amp;" --week "&amp;$D$4&amp;" --slate-id "&amp;$D34&amp;" --volume-prior --sigma-recalibration --dst-model distributional")</f>
        <v/>
      </c>
      <c r="H34" s="9" t="str">
        <f aca="false">IF($A34="","","python scripts/optimizer.py --site "&amp;$B34&amp;" --slate-id "&amp;$D34&amp;" --n-lineups 20")</f>
        <v/>
      </c>
      <c r="I34" s="9" t="str">
        <f aca="false">IF($A34="","","python scripts/pivot_finder.py --site "&amp;$B34&amp;" --slate-id "&amp;$D34)</f>
        <v/>
      </c>
    </row>
    <row r="35" customFormat="false" ht="15" hidden="false" customHeight="false" outlineLevel="0" collapsed="false">
      <c r="A35" s="8"/>
      <c r="B35" s="9" t="str">
        <f aca="false">IF($A35="","",LEFT($A35,FIND("_",$A35)-1))</f>
        <v/>
      </c>
      <c r="C35" s="9" t="str">
        <f aca="false">IF($A35="","",IF(ISNUMBER(SEARCH("showdown",$A35)),"showdown","classic"))</f>
        <v/>
      </c>
      <c r="D35" s="9" t="str">
        <f aca="false">IF($A35="","",SUBSTITUTE($A35,".csv",""))</f>
        <v/>
      </c>
      <c r="E35" s="9" t="str">
        <f aca="false">IF($A35="","","python scripts/vegas_odds.py --slate-id "&amp;$D35)</f>
        <v/>
      </c>
      <c r="F35" s="9" t="str">
        <f aca="false">IF($A35="","","python scripts/ingest_salaries.py --site "&amp;$B35&amp;" --raw data/raw_salaries/"&amp;$A35&amp;" --season "&amp;$C$3&amp;" --slate-id "&amp;$D35&amp;IF($C35="showdown"," --format showdown",""))</f>
        <v/>
      </c>
      <c r="G35" s="9" t="str">
        <f aca="false">IF($A35="","","python scripts/build_projections_statline.py --site "&amp;$B35&amp;" --season "&amp;$C$3&amp;" --week "&amp;$D$4&amp;" --slate-id "&amp;$D35&amp;" --volume-prior --sigma-recalibration --dst-model distributional")</f>
        <v/>
      </c>
      <c r="H35" s="9" t="str">
        <f aca="false">IF($A35="","","python scripts/optimizer.py --site "&amp;$B35&amp;" --slate-id "&amp;$D35&amp;" --n-lineups 20")</f>
        <v/>
      </c>
      <c r="I35" s="9" t="str">
        <f aca="false">IF($A35="","","python scripts/pivot_finder.py --site "&amp;$B35&amp;" --slate-id "&amp;$D35)</f>
        <v/>
      </c>
    </row>
    <row r="36" customFormat="false" ht="15" hidden="false" customHeight="false" outlineLevel="0" collapsed="false">
      <c r="A36" s="8"/>
      <c r="B36" s="9" t="str">
        <f aca="false">IF($A36="","",LEFT($A36,FIND("_",$A36)-1))</f>
        <v/>
      </c>
      <c r="C36" s="9" t="str">
        <f aca="false">IF($A36="","",IF(ISNUMBER(SEARCH("showdown",$A36)),"showdown","classic"))</f>
        <v/>
      </c>
      <c r="D36" s="9" t="str">
        <f aca="false">IF($A36="","",SUBSTITUTE($A36,".csv",""))</f>
        <v/>
      </c>
      <c r="E36" s="9" t="str">
        <f aca="false">IF($A36="","","python scripts/vegas_odds.py --slate-id "&amp;$D36)</f>
        <v/>
      </c>
      <c r="F36" s="9" t="str">
        <f aca="false">IF($A36="","","python scripts/ingest_salaries.py --site "&amp;$B36&amp;" --raw data/raw_salaries/"&amp;$A36&amp;" --season "&amp;$C$3&amp;" --slate-id "&amp;$D36&amp;IF($C36="showdown"," --format showdown",""))</f>
        <v/>
      </c>
      <c r="G36" s="9" t="str">
        <f aca="false">IF($A36="","","python scripts/build_projections_statline.py --site "&amp;$B36&amp;" --season "&amp;$C$3&amp;" --week "&amp;$D$4&amp;" --slate-id "&amp;$D36&amp;" --volume-prior --sigma-recalibration --dst-model distributional")</f>
        <v/>
      </c>
      <c r="H36" s="9" t="str">
        <f aca="false">IF($A36="","","python scripts/optimizer.py --site "&amp;$B36&amp;" --slate-id "&amp;$D36&amp;" --n-lineups 20")</f>
        <v/>
      </c>
      <c r="I36" s="9" t="str">
        <f aca="false">IF($A36="","","python scripts/pivot_finder.py --site "&amp;$B36&amp;" --slate-id "&amp;$D36)</f>
        <v/>
      </c>
    </row>
    <row r="37" customFormat="false" ht="15" hidden="false" customHeight="false" outlineLevel="0" collapsed="false">
      <c r="A37" s="8"/>
      <c r="B37" s="9" t="str">
        <f aca="false">IF($A37="","",LEFT($A37,FIND("_",$A37)-1))</f>
        <v/>
      </c>
      <c r="C37" s="9" t="str">
        <f aca="false">IF($A37="","",IF(ISNUMBER(SEARCH("showdown",$A37)),"showdown","classic"))</f>
        <v/>
      </c>
      <c r="D37" s="9" t="str">
        <f aca="false">IF($A37="","",SUBSTITUTE($A37,".csv",""))</f>
        <v/>
      </c>
      <c r="E37" s="9" t="str">
        <f aca="false">IF($A37="","","python scripts/vegas_odds.py --slate-id "&amp;$D37)</f>
        <v/>
      </c>
      <c r="F37" s="9" t="str">
        <f aca="false">IF($A37="","","python scripts/ingest_salaries.py --site "&amp;$B37&amp;" --raw data/raw_salaries/"&amp;$A37&amp;" --season "&amp;$C$3&amp;" --slate-id "&amp;$D37&amp;IF($C37="showdown"," --format showdown",""))</f>
        <v/>
      </c>
      <c r="G37" s="9" t="str">
        <f aca="false">IF($A37="","","python scripts/build_projections_statline.py --site "&amp;$B37&amp;" --season "&amp;$C$3&amp;" --week "&amp;$D$4&amp;" --slate-id "&amp;$D37&amp;" --volume-prior --sigma-recalibration --dst-model distributional")</f>
        <v/>
      </c>
      <c r="H37" s="9" t="str">
        <f aca="false">IF($A37="","","python scripts/optimizer.py --site "&amp;$B37&amp;" --slate-id "&amp;$D37&amp;" --n-lineups 20")</f>
        <v/>
      </c>
      <c r="I37" s="9" t="str">
        <f aca="false">IF($A37="","","python scripts/pivot_finder.py --site "&amp;$B37&amp;" --slate-id "&amp;$D37)</f>
        <v/>
      </c>
    </row>
    <row r="38" customFormat="false" ht="15" hidden="false" customHeight="false" outlineLevel="0" collapsed="false">
      <c r="A38" s="8"/>
      <c r="B38" s="9" t="str">
        <f aca="false">IF($A38="","",LEFT($A38,FIND("_",$A38)-1))</f>
        <v/>
      </c>
      <c r="C38" s="9" t="str">
        <f aca="false">IF($A38="","",IF(ISNUMBER(SEARCH("showdown",$A38)),"showdown","classic"))</f>
        <v/>
      </c>
      <c r="D38" s="9" t="str">
        <f aca="false">IF($A38="","",SUBSTITUTE($A38,".csv",""))</f>
        <v/>
      </c>
      <c r="E38" s="9" t="str">
        <f aca="false">IF($A38="","","python scripts/vegas_odds.py --slate-id "&amp;$D38)</f>
        <v/>
      </c>
      <c r="F38" s="9" t="str">
        <f aca="false">IF($A38="","","python scripts/ingest_salaries.py --site "&amp;$B38&amp;" --raw data/raw_salaries/"&amp;$A38&amp;" --season "&amp;$C$3&amp;" --slate-id "&amp;$D38&amp;IF($C38="showdown"," --format showdown",""))</f>
        <v/>
      </c>
      <c r="G38" s="9" t="str">
        <f aca="false">IF($A38="","","python scripts/build_projections_statline.py --site "&amp;$B38&amp;" --season "&amp;$C$3&amp;" --week "&amp;$D$4&amp;" --slate-id "&amp;$D38&amp;" --volume-prior --sigma-recalibration --dst-model distributional")</f>
        <v/>
      </c>
      <c r="H38" s="9" t="str">
        <f aca="false">IF($A38="","","python scripts/optimizer.py --site "&amp;$B38&amp;" --slate-id "&amp;$D38&amp;" --n-lineups 20")</f>
        <v/>
      </c>
      <c r="I38" s="9" t="str">
        <f aca="false">IF($A38="","","python scripts/pivot_finder.py --site "&amp;$B38&amp;" --slate-id "&amp;$D38)</f>
        <v/>
      </c>
    </row>
    <row r="39" customFormat="false" ht="15" hidden="false" customHeight="false" outlineLevel="0" collapsed="false">
      <c r="A39" s="8"/>
      <c r="B39" s="9" t="str">
        <f aca="false">IF($A39="","",LEFT($A39,FIND("_",$A39)-1))</f>
        <v/>
      </c>
      <c r="C39" s="9" t="str">
        <f aca="false">IF($A39="","",IF(ISNUMBER(SEARCH("showdown",$A39)),"showdown","classic"))</f>
        <v/>
      </c>
      <c r="D39" s="9" t="str">
        <f aca="false">IF($A39="","",SUBSTITUTE($A39,".csv",""))</f>
        <v/>
      </c>
      <c r="E39" s="9" t="str">
        <f aca="false">IF($A39="","","python scripts/vegas_odds.py --slate-id "&amp;$D39)</f>
        <v/>
      </c>
      <c r="F39" s="9" t="str">
        <f aca="false">IF($A39="","","python scripts/ingest_salaries.py --site "&amp;$B39&amp;" --raw data/raw_salaries/"&amp;$A39&amp;" --season "&amp;$C$3&amp;" --slate-id "&amp;$D39&amp;IF($C39="showdown"," --format showdown",""))</f>
        <v/>
      </c>
      <c r="G39" s="9" t="str">
        <f aca="false">IF($A39="","","python scripts/build_projections_statline.py --site "&amp;$B39&amp;" --season "&amp;$C$3&amp;" --week "&amp;$D$4&amp;" --slate-id "&amp;$D39&amp;" --volume-prior --sigma-recalibration --dst-model distributional")</f>
        <v/>
      </c>
      <c r="H39" s="9" t="str">
        <f aca="false">IF($A39="","","python scripts/optimizer.py --site "&amp;$B39&amp;" --slate-id "&amp;$D39&amp;" --n-lineups 20")</f>
        <v/>
      </c>
      <c r="I39" s="9" t="str">
        <f aca="false">IF($A39="","","python scripts/pivot_finder.py --site "&amp;$B39&amp;" --slate-id "&amp;$D39)</f>
        <v/>
      </c>
    </row>
    <row r="40" customFormat="false" ht="15" hidden="false" customHeight="false" outlineLevel="0" collapsed="false">
      <c r="A40" s="8"/>
      <c r="B40" s="9" t="str">
        <f aca="false">IF($A40="","",LEFT($A40,FIND("_",$A40)-1))</f>
        <v/>
      </c>
      <c r="C40" s="9" t="str">
        <f aca="false">IF($A40="","",IF(ISNUMBER(SEARCH("showdown",$A40)),"showdown","classic"))</f>
        <v/>
      </c>
      <c r="D40" s="9" t="str">
        <f aca="false">IF($A40="","",SUBSTITUTE($A40,".csv",""))</f>
        <v/>
      </c>
      <c r="E40" s="9" t="str">
        <f aca="false">IF($A40="","","python scripts/vegas_odds.py --slate-id "&amp;$D40)</f>
        <v/>
      </c>
      <c r="F40" s="9" t="str">
        <f aca="false">IF($A40="","","python scripts/ingest_salaries.py --site "&amp;$B40&amp;" --raw data/raw_salaries/"&amp;$A40&amp;" --season "&amp;$C$3&amp;" --slate-id "&amp;$D40&amp;IF($C40="showdown"," --format showdown",""))</f>
        <v/>
      </c>
      <c r="G40" s="9" t="str">
        <f aca="false">IF($A40="","","python scripts/build_projections_statline.py --site "&amp;$B40&amp;" --season "&amp;$C$3&amp;" --week "&amp;$D$4&amp;" --slate-id "&amp;$D40&amp;" --volume-prior --sigma-recalibration --dst-model distributional")</f>
        <v/>
      </c>
      <c r="H40" s="9" t="str">
        <f aca="false">IF($A40="","","python scripts/optimizer.py --site "&amp;$B40&amp;" --slate-id "&amp;$D40&amp;" --n-lineups 20")</f>
        <v/>
      </c>
      <c r="I40" s="9" t="str">
        <f aca="false">IF($A40="","","python scripts/pivot_finder.py --site "&amp;$B40&amp;" --slate-id "&amp;$D40)</f>
        <v/>
      </c>
    </row>
    <row r="41" customFormat="false" ht="15" hidden="false" customHeight="false" outlineLevel="0" collapsed="false">
      <c r="A41" s="8"/>
      <c r="B41" s="9" t="str">
        <f aca="false">IF($A41="","",LEFT($A41,FIND("_",$A41)-1))</f>
        <v/>
      </c>
      <c r="C41" s="9" t="str">
        <f aca="false">IF($A41="","",IF(ISNUMBER(SEARCH("showdown",$A41)),"showdown","classic"))</f>
        <v/>
      </c>
      <c r="D41" s="9" t="str">
        <f aca="false">IF($A41="","",SUBSTITUTE($A41,".csv",""))</f>
        <v/>
      </c>
      <c r="E41" s="9" t="str">
        <f aca="false">IF($A41="","","python scripts/vegas_odds.py --slate-id "&amp;$D41)</f>
        <v/>
      </c>
      <c r="F41" s="9" t="str">
        <f aca="false">IF($A41="","","python scripts/ingest_salaries.py --site "&amp;$B41&amp;" --raw data/raw_salaries/"&amp;$A41&amp;" --season "&amp;$C$3&amp;" --slate-id "&amp;$D41&amp;IF($C41="showdown"," --format showdown",""))</f>
        <v/>
      </c>
      <c r="G41" s="9" t="str">
        <f aca="false">IF($A41="","","python scripts/build_projections_statline.py --site "&amp;$B41&amp;" --season "&amp;$C$3&amp;" --week "&amp;$D$4&amp;" --slate-id "&amp;$D41&amp;" --volume-prior --sigma-recalibration --dst-model distributional")</f>
        <v/>
      </c>
      <c r="H41" s="9" t="str">
        <f aca="false">IF($A41="","","python scripts/optimizer.py --site "&amp;$B41&amp;" --slate-id "&amp;$D41&amp;" --n-lineups 20")</f>
        <v/>
      </c>
      <c r="I41" s="9" t="str">
        <f aca="false">IF($A41="","","python scripts/pivot_finder.py --site "&amp;$B41&amp;" --slate-id "&amp;$D41)</f>
        <v/>
      </c>
    </row>
    <row r="42" customFormat="false" ht="15" hidden="false" customHeight="false" outlineLevel="0" collapsed="false">
      <c r="A42" s="8"/>
      <c r="B42" s="9" t="str">
        <f aca="false">IF($A42="","",LEFT($A42,FIND("_",$A42)-1))</f>
        <v/>
      </c>
      <c r="C42" s="9" t="str">
        <f aca="false">IF($A42="","",IF(ISNUMBER(SEARCH("showdown",$A42)),"showdown","classic"))</f>
        <v/>
      </c>
      <c r="D42" s="9" t="str">
        <f aca="false">IF($A42="","",SUBSTITUTE($A42,".csv",""))</f>
        <v/>
      </c>
      <c r="E42" s="9" t="str">
        <f aca="false">IF($A42="","","python scripts/vegas_odds.py --slate-id "&amp;$D42)</f>
        <v/>
      </c>
      <c r="F42" s="9" t="str">
        <f aca="false">IF($A42="","","python scripts/ingest_salaries.py --site "&amp;$B42&amp;" --raw data/raw_salaries/"&amp;$A42&amp;" --season "&amp;$C$3&amp;" --slate-id "&amp;$D42&amp;IF($C42="showdown"," --format showdown",""))</f>
        <v/>
      </c>
      <c r="G42" s="9" t="str">
        <f aca="false">IF($A42="","","python scripts/build_projections_statline.py --site "&amp;$B42&amp;" --season "&amp;$C$3&amp;" --week "&amp;$D$4&amp;" --slate-id "&amp;$D42&amp;" --volume-prior --sigma-recalibration --dst-model distributional")</f>
        <v/>
      </c>
      <c r="H42" s="9" t="str">
        <f aca="false">IF($A42="","","python scripts/optimizer.py --site "&amp;$B42&amp;" --slate-id "&amp;$D42&amp;" --n-lineups 20")</f>
        <v/>
      </c>
      <c r="I42" s="9" t="str">
        <f aca="false">IF($A42="","","python scripts/pivot_finder.py --site "&amp;$B42&amp;" --slate-id "&amp;$D42)</f>
        <v/>
      </c>
    </row>
    <row r="43" customFormat="false" ht="15" hidden="false" customHeight="false" outlineLevel="0" collapsed="false">
      <c r="A43" s="8"/>
      <c r="B43" s="9" t="str">
        <f aca="false">IF($A43="","",LEFT($A43,FIND("_",$A43)-1))</f>
        <v/>
      </c>
      <c r="C43" s="9" t="str">
        <f aca="false">IF($A43="","",IF(ISNUMBER(SEARCH("showdown",$A43)),"showdown","classic"))</f>
        <v/>
      </c>
      <c r="D43" s="9" t="str">
        <f aca="false">IF($A43="","",SUBSTITUTE($A43,".csv",""))</f>
        <v/>
      </c>
      <c r="E43" s="9" t="str">
        <f aca="false">IF($A43="","","python scripts/vegas_odds.py --slate-id "&amp;$D43)</f>
        <v/>
      </c>
      <c r="F43" s="9" t="str">
        <f aca="false">IF($A43="","","python scripts/ingest_salaries.py --site "&amp;$B43&amp;" --raw data/raw_salaries/"&amp;$A43&amp;" --season "&amp;$C$3&amp;" --slate-id "&amp;$D43&amp;IF($C43="showdown"," --format showdown",""))</f>
        <v/>
      </c>
      <c r="G43" s="9" t="str">
        <f aca="false">IF($A43="","","python scripts/build_projections_statline.py --site "&amp;$B43&amp;" --season "&amp;$C$3&amp;" --week "&amp;$D$4&amp;" --slate-id "&amp;$D43&amp;" --volume-prior --sigma-recalibration --dst-model distributional")</f>
        <v/>
      </c>
      <c r="H43" s="9" t="str">
        <f aca="false">IF($A43="","","python scripts/optimizer.py --site "&amp;$B43&amp;" --slate-id "&amp;$D43&amp;" --n-lineups 20")</f>
        <v/>
      </c>
      <c r="I43" s="9" t="str">
        <f aca="false">IF($A43="","","python scripts/pivot_finder.py --site "&amp;$B43&amp;" --slate-id "&amp;$D43)</f>
        <v/>
      </c>
    </row>
    <row r="44" customFormat="false" ht="15" hidden="false" customHeight="false" outlineLevel="0" collapsed="false">
      <c r="A44" s="8"/>
      <c r="B44" s="9" t="str">
        <f aca="false">IF($A44="","",LEFT($A44,FIND("_",$A44)-1))</f>
        <v/>
      </c>
      <c r="C44" s="9" t="str">
        <f aca="false">IF($A44="","",IF(ISNUMBER(SEARCH("showdown",$A44)),"showdown","classic"))</f>
        <v/>
      </c>
      <c r="D44" s="9" t="str">
        <f aca="false">IF($A44="","",SUBSTITUTE($A44,".csv",""))</f>
        <v/>
      </c>
      <c r="E44" s="9" t="str">
        <f aca="false">IF($A44="","","python scripts/vegas_odds.py --slate-id "&amp;$D44)</f>
        <v/>
      </c>
      <c r="F44" s="9" t="str">
        <f aca="false">IF($A44="","","python scripts/ingest_salaries.py --site "&amp;$B44&amp;" --raw data/raw_salaries/"&amp;$A44&amp;" --season "&amp;$C$3&amp;" --slate-id "&amp;$D44&amp;IF($C44="showdown"," --format showdown",""))</f>
        <v/>
      </c>
      <c r="G44" s="9" t="str">
        <f aca="false">IF($A44="","","python scripts/build_projections_statline.py --site "&amp;$B44&amp;" --season "&amp;$C$3&amp;" --week "&amp;$D$4&amp;" --slate-id "&amp;$D44&amp;" --volume-prior --sigma-recalibration --dst-model distributional")</f>
        <v/>
      </c>
      <c r="H44" s="9" t="str">
        <f aca="false">IF($A44="","","python scripts/optimizer.py --site "&amp;$B44&amp;" --slate-id "&amp;$D44&amp;" --n-lineups 20")</f>
        <v/>
      </c>
      <c r="I44" s="9" t="str">
        <f aca="false">IF($A44="","","python scripts/pivot_finder.py --site "&amp;$B44&amp;" --slate-id "&amp;$D44)</f>
        <v/>
      </c>
    </row>
    <row r="45" customFormat="false" ht="15" hidden="false" customHeight="false" outlineLevel="0" collapsed="false">
      <c r="A45" s="8"/>
      <c r="B45" s="9" t="str">
        <f aca="false">IF($A45="","",LEFT($A45,FIND("_",$A45)-1))</f>
        <v/>
      </c>
      <c r="C45" s="9" t="str">
        <f aca="false">IF($A45="","",IF(ISNUMBER(SEARCH("showdown",$A45)),"showdown","classic"))</f>
        <v/>
      </c>
      <c r="D45" s="9" t="str">
        <f aca="false">IF($A45="","",SUBSTITUTE($A45,".csv",""))</f>
        <v/>
      </c>
      <c r="E45" s="9" t="str">
        <f aca="false">IF($A45="","","python scripts/vegas_odds.py --slate-id "&amp;$D45)</f>
        <v/>
      </c>
      <c r="F45" s="9" t="str">
        <f aca="false">IF($A45="","","python scripts/ingest_salaries.py --site "&amp;$B45&amp;" --raw data/raw_salaries/"&amp;$A45&amp;" --season "&amp;$C$3&amp;" --slate-id "&amp;$D45&amp;IF($C45="showdown"," --format showdown",""))</f>
        <v/>
      </c>
      <c r="G45" s="9" t="str">
        <f aca="false">IF($A45="","","python scripts/build_projections_statline.py --site "&amp;$B45&amp;" --season "&amp;$C$3&amp;" --week "&amp;$D$4&amp;" --slate-id "&amp;$D45&amp;" --volume-prior --sigma-recalibration --dst-model distributional")</f>
        <v/>
      </c>
      <c r="H45" s="9" t="str">
        <f aca="false">IF($A45="","","python scripts/optimizer.py --site "&amp;$B45&amp;" --slate-id "&amp;$D45&amp;" --n-lineups 20")</f>
        <v/>
      </c>
      <c r="I45" s="9" t="str">
        <f aca="false">IF($A45="","","python scripts/pivot_finder.py --site "&amp;$B45&amp;" --slate-id "&amp;$D45)</f>
        <v/>
      </c>
    </row>
    <row r="46" customFormat="false" ht="15" hidden="false" customHeight="false" outlineLevel="0" collapsed="false">
      <c r="A46" s="8"/>
      <c r="B46" s="9" t="str">
        <f aca="false">IF($A46="","",LEFT($A46,FIND("_",$A46)-1))</f>
        <v/>
      </c>
      <c r="C46" s="9" t="str">
        <f aca="false">IF($A46="","",IF(ISNUMBER(SEARCH("showdown",$A46)),"showdown","classic"))</f>
        <v/>
      </c>
      <c r="D46" s="9" t="str">
        <f aca="false">IF($A46="","",SUBSTITUTE($A46,".csv",""))</f>
        <v/>
      </c>
      <c r="E46" s="9" t="str">
        <f aca="false">IF($A46="","","python scripts/vegas_odds.py --slate-id "&amp;$D46)</f>
        <v/>
      </c>
      <c r="F46" s="9" t="str">
        <f aca="false">IF($A46="","","python scripts/ingest_salaries.py --site "&amp;$B46&amp;" --raw data/raw_salaries/"&amp;$A46&amp;" --season "&amp;$C$3&amp;" --slate-id "&amp;$D46&amp;IF($C46="showdown"," --format showdown",""))</f>
        <v/>
      </c>
      <c r="G46" s="9" t="str">
        <f aca="false">IF($A46="","","python scripts/build_projections_statline.py --site "&amp;$B46&amp;" --season "&amp;$C$3&amp;" --week "&amp;$D$4&amp;" --slate-id "&amp;$D46&amp;" --volume-prior --sigma-recalibration --dst-model distributional")</f>
        <v/>
      </c>
      <c r="H46" s="9" t="str">
        <f aca="false">IF($A46="","","python scripts/optimizer.py --site "&amp;$B46&amp;" --slate-id "&amp;$D46&amp;" --n-lineups 20")</f>
        <v/>
      </c>
      <c r="I46" s="9" t="str">
        <f aca="false">IF($A46="","","python scripts/pivot_finder.py --site "&amp;$B46&amp;" --slate-id "&amp;$D46)</f>
        <v/>
      </c>
    </row>
    <row r="47" customFormat="false" ht="15" hidden="false" customHeight="false" outlineLevel="0" collapsed="false">
      <c r="A47" s="8"/>
      <c r="B47" s="9" t="str">
        <f aca="false">IF($A47="","",LEFT($A47,FIND("_",$A47)-1))</f>
        <v/>
      </c>
      <c r="C47" s="9" t="str">
        <f aca="false">IF($A47="","",IF(ISNUMBER(SEARCH("showdown",$A47)),"showdown","classic"))</f>
        <v/>
      </c>
      <c r="D47" s="9" t="str">
        <f aca="false">IF($A47="","",SUBSTITUTE($A47,".csv",""))</f>
        <v/>
      </c>
      <c r="E47" s="9" t="str">
        <f aca="false">IF($A47="","","python scripts/vegas_odds.py --slate-id "&amp;$D47)</f>
        <v/>
      </c>
      <c r="F47" s="9" t="str">
        <f aca="false">IF($A47="","","python scripts/ingest_salaries.py --site "&amp;$B47&amp;" --raw data/raw_salaries/"&amp;$A47&amp;" --season "&amp;$C$3&amp;" --slate-id "&amp;$D47&amp;IF($C47="showdown"," --format showdown",""))</f>
        <v/>
      </c>
      <c r="G47" s="9" t="str">
        <f aca="false">IF($A47="","","python scripts/build_projections_statline.py --site "&amp;$B47&amp;" --season "&amp;$C$3&amp;" --week "&amp;$D$4&amp;" --slate-id "&amp;$D47&amp;" --volume-prior --sigma-recalibration --dst-model distributional")</f>
        <v/>
      </c>
      <c r="H47" s="9" t="str">
        <f aca="false">IF($A47="","","python scripts/optimizer.py --site "&amp;$B47&amp;" --slate-id "&amp;$D47&amp;" --n-lineups 20")</f>
        <v/>
      </c>
      <c r="I47" s="9" t="str">
        <f aca="false">IF($A47="","","python scripts/pivot_finder.py --site "&amp;$B47&amp;" --slate-id "&amp;$D47)</f>
        <v/>
      </c>
    </row>
    <row r="48" customFormat="false" ht="15" hidden="false" customHeight="false" outlineLevel="0" collapsed="false">
      <c r="A48" s="8"/>
      <c r="B48" s="9" t="str">
        <f aca="false">IF($A48="","",LEFT($A48,FIND("_",$A48)-1))</f>
        <v/>
      </c>
      <c r="C48" s="9" t="str">
        <f aca="false">IF($A48="","",IF(ISNUMBER(SEARCH("showdown",$A48)),"showdown","classic"))</f>
        <v/>
      </c>
      <c r="D48" s="9" t="str">
        <f aca="false">IF($A48="","",SUBSTITUTE($A48,".csv",""))</f>
        <v/>
      </c>
      <c r="E48" s="9" t="str">
        <f aca="false">IF($A48="","","python scripts/vegas_odds.py --slate-id "&amp;$D48)</f>
        <v/>
      </c>
      <c r="F48" s="9" t="str">
        <f aca="false">IF($A48="","","python scripts/ingest_salaries.py --site "&amp;$B48&amp;" --raw data/raw_salaries/"&amp;$A48&amp;" --season "&amp;$C$3&amp;" --slate-id "&amp;$D48&amp;IF($C48="showdown"," --format showdown",""))</f>
        <v/>
      </c>
      <c r="G48" s="9" t="str">
        <f aca="false">IF($A48="","","python scripts/build_projections_statline.py --site "&amp;$B48&amp;" --season "&amp;$C$3&amp;" --week "&amp;$D$4&amp;" --slate-id "&amp;$D48&amp;" --volume-prior --sigma-recalibration --dst-model distributional")</f>
        <v/>
      </c>
      <c r="H48" s="9" t="str">
        <f aca="false">IF($A48="","","python scripts/optimizer.py --site "&amp;$B48&amp;" --slate-id "&amp;$D48&amp;" --n-lineups 20")</f>
        <v/>
      </c>
      <c r="I48" s="9" t="str">
        <f aca="false">IF($A48="","","python scripts/pivot_finder.py --site "&amp;$B48&amp;" --slate-id "&amp;$D48)</f>
        <v/>
      </c>
    </row>
    <row r="49" customFormat="false" ht="15" hidden="false" customHeight="false" outlineLevel="0" collapsed="false">
      <c r="A49" s="8"/>
      <c r="B49" s="9" t="str">
        <f aca="false">IF($A49="","",LEFT($A49,FIND("_",$A49)-1))</f>
        <v/>
      </c>
      <c r="C49" s="9" t="str">
        <f aca="false">IF($A49="","",IF(ISNUMBER(SEARCH("showdown",$A49)),"showdown","classic"))</f>
        <v/>
      </c>
      <c r="D49" s="9" t="str">
        <f aca="false">IF($A49="","",SUBSTITUTE($A49,".csv",""))</f>
        <v/>
      </c>
      <c r="E49" s="9" t="str">
        <f aca="false">IF($A49="","","python scripts/vegas_odds.py --slate-id "&amp;$D49)</f>
        <v/>
      </c>
      <c r="F49" s="9" t="str">
        <f aca="false">IF($A49="","","python scripts/ingest_salaries.py --site "&amp;$B49&amp;" --raw data/raw_salaries/"&amp;$A49&amp;" --season "&amp;$C$3&amp;" --slate-id "&amp;$D49&amp;IF($C49="showdown"," --format showdown",""))</f>
        <v/>
      </c>
      <c r="G49" s="9" t="str">
        <f aca="false">IF($A49="","","python scripts/build_projections_statline.py --site "&amp;$B49&amp;" --season "&amp;$C$3&amp;" --week "&amp;$D$4&amp;" --slate-id "&amp;$D49&amp;" --volume-prior --sigma-recalibration --dst-model distributional")</f>
        <v/>
      </c>
      <c r="H49" s="9" t="str">
        <f aca="false">IF($A49="","","python scripts/optimizer.py --site "&amp;$B49&amp;" --slate-id "&amp;$D49&amp;" --n-lineups 20")</f>
        <v/>
      </c>
      <c r="I49" s="9" t="str">
        <f aca="false">IF($A49="","","python scripts/pivot_finder.py --site "&amp;$B49&amp;" --slate-id "&amp;$D49)</f>
        <v/>
      </c>
    </row>
    <row r="50" customFormat="false" ht="15" hidden="false" customHeight="false" outlineLevel="0" collapsed="false">
      <c r="A50" s="8"/>
      <c r="B50" s="9" t="str">
        <f aca="false">IF($A50="","",LEFT($A50,FIND("_",$A50)-1))</f>
        <v/>
      </c>
      <c r="C50" s="9" t="str">
        <f aca="false">IF($A50="","",IF(ISNUMBER(SEARCH("showdown",$A50)),"showdown","classic"))</f>
        <v/>
      </c>
      <c r="D50" s="9" t="str">
        <f aca="false">IF($A50="","",SUBSTITUTE($A50,".csv",""))</f>
        <v/>
      </c>
      <c r="E50" s="9" t="str">
        <f aca="false">IF($A50="","","python scripts/vegas_odds.py --slate-id "&amp;$D50)</f>
        <v/>
      </c>
      <c r="F50" s="9" t="str">
        <f aca="false">IF($A50="","","python scripts/ingest_salaries.py --site "&amp;$B50&amp;" --raw data/raw_salaries/"&amp;$A50&amp;" --season "&amp;$C$3&amp;" --slate-id "&amp;$D50&amp;IF($C50="showdown"," --format showdown",""))</f>
        <v/>
      </c>
      <c r="G50" s="9" t="str">
        <f aca="false">IF($A50="","","python scripts/build_projections_statline.py --site "&amp;$B50&amp;" --season "&amp;$C$3&amp;" --week "&amp;$D$4&amp;" --slate-id "&amp;$D50&amp;" --volume-prior --sigma-recalibration --dst-model distributional")</f>
        <v/>
      </c>
      <c r="H50" s="9" t="str">
        <f aca="false">IF($A50="","","python scripts/optimizer.py --site "&amp;$B50&amp;" --slate-id "&amp;$D50&amp;" --n-lineups 20")</f>
        <v/>
      </c>
      <c r="I50" s="9" t="str">
        <f aca="false">IF($A50="","","python scripts/pivot_finder.py --site "&amp;$B50&amp;" --slate-id "&amp;$D50)</f>
        <v/>
      </c>
    </row>
    <row r="51" customFormat="false" ht="15" hidden="false" customHeight="false" outlineLevel="0" collapsed="false">
      <c r="A51" s="8"/>
      <c r="B51" s="9" t="str">
        <f aca="false">IF($A51="","",LEFT($A51,FIND("_",$A51)-1))</f>
        <v/>
      </c>
      <c r="C51" s="9" t="str">
        <f aca="false">IF($A51="","",IF(ISNUMBER(SEARCH("showdown",$A51)),"showdown","classic"))</f>
        <v/>
      </c>
      <c r="D51" s="9" t="str">
        <f aca="false">IF($A51="","",SUBSTITUTE($A51,".csv",""))</f>
        <v/>
      </c>
      <c r="E51" s="9" t="str">
        <f aca="false">IF($A51="","","python scripts/vegas_odds.py --slate-id "&amp;$D51)</f>
        <v/>
      </c>
      <c r="F51" s="9" t="str">
        <f aca="false">IF($A51="","","python scripts/ingest_salaries.py --site "&amp;$B51&amp;" --raw data/raw_salaries/"&amp;$A51&amp;" --season "&amp;$C$3&amp;" --slate-id "&amp;$D51&amp;IF($C51="showdown"," --format showdown",""))</f>
        <v/>
      </c>
      <c r="G51" s="9" t="str">
        <f aca="false">IF($A51="","","python scripts/build_projections_statline.py --site "&amp;$B51&amp;" --season "&amp;$C$3&amp;" --week "&amp;$D$4&amp;" --slate-id "&amp;$D51&amp;" --volume-prior --sigma-recalibration --dst-model distributional")</f>
        <v/>
      </c>
      <c r="H51" s="9" t="str">
        <f aca="false">IF($A51="","","python scripts/optimizer.py --site "&amp;$B51&amp;" --slate-id "&amp;$D51&amp;" --n-lineups 20")</f>
        <v/>
      </c>
      <c r="I51" s="9" t="str">
        <f aca="false">IF($A51="","","python scripts/pivot_finder.py --site "&amp;$B51&amp;" --slate-id "&amp;$D51)</f>
        <v/>
      </c>
    </row>
    <row r="52" customFormat="false" ht="15" hidden="false" customHeight="false" outlineLevel="0" collapsed="false">
      <c r="A52" s="8"/>
      <c r="B52" s="9" t="str">
        <f aca="false">IF($A52="","",LEFT($A52,FIND("_",$A52)-1))</f>
        <v/>
      </c>
      <c r="C52" s="9" t="str">
        <f aca="false">IF($A52="","",IF(ISNUMBER(SEARCH("showdown",$A52)),"showdown","classic"))</f>
        <v/>
      </c>
      <c r="D52" s="9" t="str">
        <f aca="false">IF($A52="","",SUBSTITUTE($A52,".csv",""))</f>
        <v/>
      </c>
      <c r="E52" s="9" t="str">
        <f aca="false">IF($A52="","","python scripts/vegas_odds.py --slate-id "&amp;$D52)</f>
        <v/>
      </c>
      <c r="F52" s="9" t="str">
        <f aca="false">IF($A52="","","python scripts/ingest_salaries.py --site "&amp;$B52&amp;" --raw data/raw_salaries/"&amp;$A52&amp;" --season "&amp;$C$3&amp;" --slate-id "&amp;$D52&amp;IF($C52="showdown"," --format showdown",""))</f>
        <v/>
      </c>
      <c r="G52" s="9" t="str">
        <f aca="false">IF($A52="","","python scripts/build_projections_statline.py --site "&amp;$B52&amp;" --season "&amp;$C$3&amp;" --week "&amp;$D$4&amp;" --slate-id "&amp;$D52&amp;" --volume-prior --sigma-recalibration --dst-model distributional")</f>
        <v/>
      </c>
      <c r="H52" s="9" t="str">
        <f aca="false">IF($A52="","","python scripts/optimizer.py --site "&amp;$B52&amp;" --slate-id "&amp;$D52&amp;" --n-lineups 20")</f>
        <v/>
      </c>
      <c r="I52" s="9" t="str">
        <f aca="false">IF($A52="","","python scripts/pivot_finder.py --site "&amp;$B52&amp;" --slate-id "&amp;$D52)</f>
        <v/>
      </c>
    </row>
    <row r="53" customFormat="false" ht="15" hidden="false" customHeight="false" outlineLevel="0" collapsed="false">
      <c r="A53" s="8"/>
      <c r="B53" s="9" t="str">
        <f aca="false">IF($A53="","",LEFT($A53,FIND("_",$A53)-1))</f>
        <v/>
      </c>
      <c r="C53" s="9" t="str">
        <f aca="false">IF($A53="","",IF(ISNUMBER(SEARCH("showdown",$A53)),"showdown","classic"))</f>
        <v/>
      </c>
      <c r="D53" s="9" t="str">
        <f aca="false">IF($A53="","",SUBSTITUTE($A53,".csv",""))</f>
        <v/>
      </c>
      <c r="E53" s="9" t="str">
        <f aca="false">IF($A53="","","python scripts/vegas_odds.py --slate-id "&amp;$D53)</f>
        <v/>
      </c>
      <c r="F53" s="9" t="str">
        <f aca="false">IF($A53="","","python scripts/ingest_salaries.py --site "&amp;$B53&amp;" --raw data/raw_salaries/"&amp;$A53&amp;" --season "&amp;$C$3&amp;" --slate-id "&amp;$D53&amp;IF($C53="showdown"," --format showdown",""))</f>
        <v/>
      </c>
      <c r="G53" s="9" t="str">
        <f aca="false">IF($A53="","","python scripts/build_projections_statline.py --site "&amp;$B53&amp;" --season "&amp;$C$3&amp;" --week "&amp;$D$4&amp;" --slate-id "&amp;$D53&amp;" --volume-prior --sigma-recalibration --dst-model distributional")</f>
        <v/>
      </c>
      <c r="H53" s="9" t="str">
        <f aca="false">IF($A53="","","python scripts/optimizer.py --site "&amp;$B53&amp;" --slate-id "&amp;$D53&amp;" --n-lineups 20")</f>
        <v/>
      </c>
      <c r="I53" s="9" t="str">
        <f aca="false">IF($A53="","","python scripts/pivot_finder.py --site "&amp;$B53&amp;" --slate-id "&amp;$D53)</f>
        <v/>
      </c>
    </row>
    <row r="54" customFormat="false" ht="15" hidden="false" customHeight="false" outlineLevel="0" collapsed="false">
      <c r="A54" s="8"/>
      <c r="B54" s="9" t="str">
        <f aca="false">IF($A54="","",LEFT($A54,FIND("_",$A54)-1))</f>
        <v/>
      </c>
      <c r="C54" s="9" t="str">
        <f aca="false">IF($A54="","",IF(ISNUMBER(SEARCH("showdown",$A54)),"showdown","classic"))</f>
        <v/>
      </c>
      <c r="D54" s="9" t="str">
        <f aca="false">IF($A54="","",SUBSTITUTE($A54,".csv",""))</f>
        <v/>
      </c>
      <c r="E54" s="9" t="str">
        <f aca="false">IF($A54="","","python scripts/vegas_odds.py --slate-id "&amp;$D54)</f>
        <v/>
      </c>
      <c r="F54" s="9" t="str">
        <f aca="false">IF($A54="","","python scripts/ingest_salaries.py --site "&amp;$B54&amp;" --raw data/raw_salaries/"&amp;$A54&amp;" --season "&amp;$C$3&amp;" --slate-id "&amp;$D54&amp;IF($C54="showdown"," --format showdown",""))</f>
        <v/>
      </c>
      <c r="G54" s="9" t="str">
        <f aca="false">IF($A54="","","python scripts/build_projections_statline.py --site "&amp;$B54&amp;" --season "&amp;$C$3&amp;" --week "&amp;$D$4&amp;" --slate-id "&amp;$D54&amp;" --volume-prior --sigma-recalibration --dst-model distributional")</f>
        <v/>
      </c>
      <c r="H54" s="9" t="str">
        <f aca="false">IF($A54="","","python scripts/optimizer.py --site "&amp;$B54&amp;" --slate-id "&amp;$D54&amp;" --n-lineups 20")</f>
        <v/>
      </c>
      <c r="I54" s="9" t="str">
        <f aca="false">IF($A54="","","python scripts/pivot_finder.py --site "&amp;$B54&amp;" --slate-id "&amp;$D54)</f>
        <v/>
      </c>
    </row>
    <row r="55" customFormat="false" ht="15" hidden="false" customHeight="false" outlineLevel="0" collapsed="false">
      <c r="A55" s="8"/>
      <c r="B55" s="9" t="str">
        <f aca="false">IF($A55="","",LEFT($A55,FIND("_",$A55)-1))</f>
        <v/>
      </c>
      <c r="C55" s="9" t="str">
        <f aca="false">IF($A55="","",IF(ISNUMBER(SEARCH("showdown",$A55)),"showdown","classic"))</f>
        <v/>
      </c>
      <c r="D55" s="9" t="str">
        <f aca="false">IF($A55="","",SUBSTITUTE($A55,".csv",""))</f>
        <v/>
      </c>
      <c r="E55" s="9" t="str">
        <f aca="false">IF($A55="","","python scripts/vegas_odds.py --slate-id "&amp;$D55)</f>
        <v/>
      </c>
      <c r="F55" s="9" t="str">
        <f aca="false">IF($A55="","","python scripts/ingest_salaries.py --site "&amp;$B55&amp;" --raw data/raw_salaries/"&amp;$A55&amp;" --season "&amp;$C$3&amp;" --slate-id "&amp;$D55&amp;IF($C55="showdown"," --format showdown",""))</f>
        <v/>
      </c>
      <c r="G55" s="9" t="str">
        <f aca="false">IF($A55="","","python scripts/build_projections_statline.py --site "&amp;$B55&amp;" --season "&amp;$C$3&amp;" --week "&amp;$D$4&amp;" --slate-id "&amp;$D55&amp;" --volume-prior --sigma-recalibration --dst-model distributional")</f>
        <v/>
      </c>
      <c r="H55" s="9" t="str">
        <f aca="false">IF($A55="","","python scripts/optimizer.py --site "&amp;$B55&amp;" --slate-id "&amp;$D55&amp;" --n-lineups 20")</f>
        <v/>
      </c>
      <c r="I55" s="9" t="str">
        <f aca="false">IF($A55="","","python scripts/pivot_finder.py --site "&amp;$B55&amp;" --slate-id "&amp;$D55)</f>
        <v/>
      </c>
    </row>
    <row r="56" customFormat="false" ht="15" hidden="false" customHeight="false" outlineLevel="0" collapsed="false">
      <c r="A56" s="8"/>
      <c r="B56" s="9" t="str">
        <f aca="false">IF($A56="","",LEFT($A56,FIND("_",$A56)-1))</f>
        <v/>
      </c>
      <c r="C56" s="9" t="str">
        <f aca="false">IF($A56="","",IF(ISNUMBER(SEARCH("showdown",$A56)),"showdown","classic"))</f>
        <v/>
      </c>
      <c r="D56" s="9" t="str">
        <f aca="false">IF($A56="","",SUBSTITUTE($A56,".csv",""))</f>
        <v/>
      </c>
      <c r="E56" s="9" t="str">
        <f aca="false">IF($A56="","","python scripts/vegas_odds.py --slate-id "&amp;$D56)</f>
        <v/>
      </c>
      <c r="F56" s="9" t="str">
        <f aca="false">IF($A56="","","python scripts/ingest_salaries.py --site "&amp;$B56&amp;" --raw data/raw_salaries/"&amp;$A56&amp;" --season "&amp;$C$3&amp;" --slate-id "&amp;$D56&amp;IF($C56="showdown"," --format showdown",""))</f>
        <v/>
      </c>
      <c r="G56" s="9" t="str">
        <f aca="false">IF($A56="","","python scripts/build_projections_statline.py --site "&amp;$B56&amp;" --season "&amp;$C$3&amp;" --week "&amp;$D$4&amp;" --slate-id "&amp;$D56&amp;" --volume-prior --sigma-recalibration --dst-model distributional")</f>
        <v/>
      </c>
      <c r="H56" s="9" t="str">
        <f aca="false">IF($A56="","","python scripts/optimizer.py --site "&amp;$B56&amp;" --slate-id "&amp;$D56&amp;" --n-lineups 20")</f>
        <v/>
      </c>
      <c r="I56" s="9" t="str">
        <f aca="false">IF($A56="","","python scripts/pivot_finder.py --site "&amp;$B56&amp;" --slate-id "&amp;$D56)</f>
        <v/>
      </c>
    </row>
    <row r="57" customFormat="false" ht="15" hidden="false" customHeight="false" outlineLevel="0" collapsed="false">
      <c r="A57" s="8"/>
      <c r="B57" s="9" t="str">
        <f aca="false">IF($A57="","",LEFT($A57,FIND("_",$A57)-1))</f>
        <v/>
      </c>
      <c r="C57" s="9" t="str">
        <f aca="false">IF($A57="","",IF(ISNUMBER(SEARCH("showdown",$A57)),"showdown","classic"))</f>
        <v/>
      </c>
      <c r="D57" s="9" t="str">
        <f aca="false">IF($A57="","",SUBSTITUTE($A57,".csv",""))</f>
        <v/>
      </c>
      <c r="E57" s="9" t="str">
        <f aca="false">IF($A57="","","python scripts/vegas_odds.py --slate-id "&amp;$D57)</f>
        <v/>
      </c>
      <c r="F57" s="9" t="str">
        <f aca="false">IF($A57="","","python scripts/ingest_salaries.py --site "&amp;$B57&amp;" --raw data/raw_salaries/"&amp;$A57&amp;" --season "&amp;$C$3&amp;" --slate-id "&amp;$D57&amp;IF($C57="showdown"," --format showdown",""))</f>
        <v/>
      </c>
      <c r="G57" s="9" t="str">
        <f aca="false">IF($A57="","","python scripts/build_projections_statline.py --site "&amp;$B57&amp;" --season "&amp;$C$3&amp;" --week "&amp;$D$4&amp;" --slate-id "&amp;$D57&amp;" --volume-prior --sigma-recalibration --dst-model distributional")</f>
        <v/>
      </c>
      <c r="H57" s="9" t="str">
        <f aca="false">IF($A57="","","python scripts/optimizer.py --site "&amp;$B57&amp;" --slate-id "&amp;$D57&amp;" --n-lineups 20")</f>
        <v/>
      </c>
      <c r="I57" s="9" t="str">
        <f aca="false">IF($A57="","","python scripts/pivot_finder.py --site "&amp;$B57&amp;" --slate-id "&amp;$D57)</f>
        <v/>
      </c>
    </row>
    <row r="58" customFormat="false" ht="15" hidden="false" customHeight="false" outlineLevel="0" collapsed="false">
      <c r="A58" s="8"/>
      <c r="B58" s="9" t="str">
        <f aca="false">IF($A58="","",LEFT($A58,FIND("_",$A58)-1))</f>
        <v/>
      </c>
      <c r="C58" s="9" t="str">
        <f aca="false">IF($A58="","",IF(ISNUMBER(SEARCH("showdown",$A58)),"showdown","classic"))</f>
        <v/>
      </c>
      <c r="D58" s="9" t="str">
        <f aca="false">IF($A58="","",SUBSTITUTE($A58,".csv",""))</f>
        <v/>
      </c>
      <c r="E58" s="9" t="str">
        <f aca="false">IF($A58="","","python scripts/vegas_odds.py --slate-id "&amp;$D58)</f>
        <v/>
      </c>
      <c r="F58" s="9" t="str">
        <f aca="false">IF($A58="","","python scripts/ingest_salaries.py --site "&amp;$B58&amp;" --raw data/raw_salaries/"&amp;$A58&amp;" --season "&amp;$C$3&amp;" --slate-id "&amp;$D58&amp;IF($C58="showdown"," --format showdown",""))</f>
        <v/>
      </c>
      <c r="G58" s="9" t="str">
        <f aca="false">IF($A58="","","python scripts/build_projections_statline.py --site "&amp;$B58&amp;" --season "&amp;$C$3&amp;" --week "&amp;$D$4&amp;" --slate-id "&amp;$D58&amp;" --volume-prior --sigma-recalibration --dst-model distributional")</f>
        <v/>
      </c>
      <c r="H58" s="9" t="str">
        <f aca="false">IF($A58="","","python scripts/optimizer.py --site "&amp;$B58&amp;" --slate-id "&amp;$D58&amp;" --n-lineups 20")</f>
        <v/>
      </c>
      <c r="I58" s="9" t="str">
        <f aca="false">IF($A58="","","python scripts/pivot_finder.py --site "&amp;$B58&amp;" --slate-id "&amp;$D58)</f>
        <v/>
      </c>
    </row>
    <row r="59" customFormat="false" ht="15" hidden="false" customHeight="false" outlineLevel="0" collapsed="false">
      <c r="A59" s="8"/>
      <c r="B59" s="9" t="str">
        <f aca="false">IF($A59="","",LEFT($A59,FIND("_",$A59)-1))</f>
        <v/>
      </c>
      <c r="C59" s="9" t="str">
        <f aca="false">IF($A59="","",IF(ISNUMBER(SEARCH("showdown",$A59)),"showdown","classic"))</f>
        <v/>
      </c>
      <c r="D59" s="9" t="str">
        <f aca="false">IF($A59="","",SUBSTITUTE($A59,".csv",""))</f>
        <v/>
      </c>
      <c r="E59" s="9" t="str">
        <f aca="false">IF($A59="","","python scripts/vegas_odds.py --slate-id "&amp;$D59)</f>
        <v/>
      </c>
      <c r="F59" s="9" t="str">
        <f aca="false">IF($A59="","","python scripts/ingest_salaries.py --site "&amp;$B59&amp;" --raw data/raw_salaries/"&amp;$A59&amp;" --season "&amp;$C$3&amp;" --slate-id "&amp;$D59&amp;IF($C59="showdown"," --format showdown",""))</f>
        <v/>
      </c>
      <c r="G59" s="9" t="str">
        <f aca="false">IF($A59="","","python scripts/build_projections_statline.py --site "&amp;$B59&amp;" --season "&amp;$C$3&amp;" --week "&amp;$D$4&amp;" --slate-id "&amp;$D59&amp;" --volume-prior --sigma-recalibration --dst-model distributional")</f>
        <v/>
      </c>
      <c r="H59" s="9" t="str">
        <f aca="false">IF($A59="","","python scripts/optimizer.py --site "&amp;$B59&amp;" --slate-id "&amp;$D59&amp;" --n-lineups 20")</f>
        <v/>
      </c>
      <c r="I59" s="9" t="str">
        <f aca="false">IF($A59="","","python scripts/pivot_finder.py --site "&amp;$B59&amp;" --slate-id "&amp;$D59)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2026-09-04T12:29:56Z</dcterms:created>
  <dc:creator>openpyxl</dc:creator>
  <dc:description/>
  <dc:language>en-US</dc:language>
  <cp:lastModifiedBy/>
  <dcterms:modified xsi:type="dcterms:W3CDTF">2026-09-04T12:29:56Z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